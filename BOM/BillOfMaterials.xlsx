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s\onlygems\machine_cabbing\BOM\"/>
    </mc:Choice>
  </mc:AlternateContent>
  <xr:revisionPtr revIDLastSave="0" documentId="13_ncr:1_{3AC5792A-6F57-40B4-82A8-31CA6502B4B4}" xr6:coauthVersionLast="47" xr6:coauthVersionMax="47" xr10:uidLastSave="{00000000-0000-0000-0000-000000000000}"/>
  <bookViews>
    <workbookView xWindow="-110" yWindow="-110" windowWidth="38620" windowHeight="21100" xr2:uid="{57779F7D-F035-47D5-90C4-63022A760CAE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G53" i="1"/>
  <c r="G52" i="1"/>
  <c r="G51" i="1"/>
  <c r="G50" i="1"/>
  <c r="G49" i="1"/>
  <c r="G48" i="1"/>
  <c r="G47" i="1"/>
  <c r="G46" i="1"/>
  <c r="G45" i="1"/>
  <c r="G44" i="1"/>
  <c r="G35" i="1"/>
  <c r="G19" i="1"/>
  <c r="G17" i="1"/>
  <c r="G43" i="1"/>
  <c r="G42" i="1"/>
  <c r="G41" i="1"/>
  <c r="G40" i="1"/>
  <c r="G39" i="1"/>
  <c r="G38" i="1"/>
  <c r="G37" i="1"/>
  <c r="G36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8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2" i="1"/>
  <c r="G56" i="1" s="1"/>
  <c r="G3" i="1"/>
  <c r="G55" i="1" l="1"/>
</calcChain>
</file>

<file path=xl/sharedStrings.xml><?xml version="1.0" encoding="utf-8"?>
<sst xmlns="http://schemas.openxmlformats.org/spreadsheetml/2006/main" count="289" uniqueCount="192">
  <si>
    <t>No</t>
  </si>
  <si>
    <t>Part</t>
  </si>
  <si>
    <t>PartName</t>
  </si>
  <si>
    <t>Pcs</t>
  </si>
  <si>
    <t>Price per Pcs</t>
  </si>
  <si>
    <t>Total price</t>
  </si>
  <si>
    <t>Shop</t>
  </si>
  <si>
    <t>Url</t>
  </si>
  <si>
    <t>Frame</t>
  </si>
  <si>
    <t>Part desc</t>
  </si>
  <si>
    <t>Aluminum slot profile 40160</t>
  </si>
  <si>
    <t>AluxProfile</t>
  </si>
  <si>
    <t>https://www.aluxprofile.com/aluminium-slot-profile-40160/a3838</t>
  </si>
  <si>
    <t>Aluminum slot profile 4040</t>
  </si>
  <si>
    <t>20cm length</t>
  </si>
  <si>
    <t>30cm length</t>
  </si>
  <si>
    <t>120cm length</t>
  </si>
  <si>
    <t>https://www.aluxprofile.com/aluminium-slot-profile-4040/a3619</t>
  </si>
  <si>
    <t>Cover cap 40160</t>
  </si>
  <si>
    <t>Cover cap 4040</t>
  </si>
  <si>
    <t>https://www.aluxprofile.com/cover-cap-4040/a3528</t>
  </si>
  <si>
    <t>https://www.aluxprofile.com/cover-cap-40160/a3843</t>
  </si>
  <si>
    <t>Corner bracket 4040</t>
  </si>
  <si>
    <t>https://www.aluxprofile.com/corner-bracket-4040/a3818</t>
  </si>
  <si>
    <t>Rubber foot</t>
  </si>
  <si>
    <t>https://www.aluxprofile.com/rubber-foot/a3746</t>
  </si>
  <si>
    <t>Roll-in T slot nut, 40-series M5</t>
  </si>
  <si>
    <t>8-4-M5.40</t>
  </si>
  <si>
    <t>Connecting strip T8</t>
  </si>
  <si>
    <t>8-9</t>
  </si>
  <si>
    <t>Slide-in T-slot nut, T slot 8 M8</t>
  </si>
  <si>
    <t>8-3-M8</t>
  </si>
  <si>
    <t>https://www.aluxprofile.com/slide-in-t-slot-nut-t-slot-8-m8/a3607</t>
  </si>
  <si>
    <t>https://www.aluxprofile.com/roll-in-t-slot-nut-40-series-m5/a3677</t>
  </si>
  <si>
    <t>https://www.aluxprofile.com/hexagon-socket-button-head-screw-iso-7380-m5x12/a3819</t>
  </si>
  <si>
    <t>ISO 7380 M5x12</t>
  </si>
  <si>
    <t>M5x12 screw</t>
  </si>
  <si>
    <t>https://www.aluxprofile.com/connecting-strip-t8/a3625</t>
  </si>
  <si>
    <t>Inner bracket T8</t>
  </si>
  <si>
    <t>8-6</t>
  </si>
  <si>
    <t>https://www.aluxprofile.com/inner-bracket-t8/a3682</t>
  </si>
  <si>
    <t>Hex socket head cap screw M8 x 40</t>
  </si>
  <si>
    <t>ISO 4762-M8x40</t>
  </si>
  <si>
    <t>Pozn.</t>
  </si>
  <si>
    <t>For bearings</t>
  </si>
  <si>
    <t>side frame</t>
  </si>
  <si>
    <t>motor stand</t>
  </si>
  <si>
    <t>back frame</t>
  </si>
  <si>
    <t>for feet</t>
  </si>
  <si>
    <t>motor, corners</t>
  </si>
  <si>
    <t>bearings</t>
  </si>
  <si>
    <t>Hex socket buttonhead screw M8 x 16</t>
  </si>
  <si>
    <t>ISO 7380 M8x16</t>
  </si>
  <si>
    <t>https://www.aluxprofile.com/hexagon-socket-button-head-screw-iso-7380-m8x16/a3823?filter=15%2C24</t>
  </si>
  <si>
    <t>corners</t>
  </si>
  <si>
    <t>https://www.aluxprofile.com/hexagon-socket-head-cap-screw-iso-4762-m8x40/a3824?search=ISO%204762-m8x40</t>
  </si>
  <si>
    <t>Washer M8</t>
  </si>
  <si>
    <t>ISO 7093 M8</t>
  </si>
  <si>
    <t>https://www.aluxprofile.com/washer-iso-7093-m8/a3657</t>
  </si>
  <si>
    <t>Setting screw M6x8</t>
  </si>
  <si>
    <t>DIN 914 M6x8</t>
  </si>
  <si>
    <t>connecting strips</t>
  </si>
  <si>
    <t>https://www.aluxprofile.com/setting-screw-din-914-m6x8/a3743</t>
  </si>
  <si>
    <t>plexi</t>
  </si>
  <si>
    <t>75x28x3,5</t>
  </si>
  <si>
    <t>72,5x37</t>
  </si>
  <si>
    <t>42x32,5 X2</t>
  </si>
  <si>
    <t>72,5x13,5</t>
  </si>
  <si>
    <t>celny kryt</t>
  </si>
  <si>
    <t>boky</t>
  </si>
  <si>
    <t>zadna stena</t>
  </si>
  <si>
    <t>vrch</t>
  </si>
  <si>
    <t>Cover</t>
  </si>
  <si>
    <t>Gutta Plexisklo Hobbyglass transparent</t>
  </si>
  <si>
    <t>OBI</t>
  </si>
  <si>
    <t>https://www.obi.sk/plastove-stresne-krytiny/gutta-plexisklo-hobbyglass-transparentne-1500-x-500-x-4-mm/p/4246971</t>
  </si>
  <si>
    <t>Plexi glass 4mm thick 150x50cm</t>
  </si>
  <si>
    <t>Plexi glass 4mm thick 100x50cm</t>
  </si>
  <si>
    <t>https://www.obi.sk/plastove-stresne-krytiny/gutta-plexisklo-hobbyglass-transparentne-1000-x-500-x-4-mm/p/4246807</t>
  </si>
  <si>
    <t>top cover</t>
  </si>
  <si>
    <t>2x side, face, back</t>
  </si>
  <si>
    <t>Shaft</t>
  </si>
  <si>
    <t>Inox full rod 25mm</t>
  </si>
  <si>
    <t>I-3000 AlSi 304 90cm length</t>
  </si>
  <si>
    <t>https://www.hliniknerez.sk/tovar/2256/nerezova-gulatina</t>
  </si>
  <si>
    <t>Elektra reklama</t>
  </si>
  <si>
    <t>shaft</t>
  </si>
  <si>
    <t>Bearing</t>
  </si>
  <si>
    <t>Dome bearing UCP205</t>
  </si>
  <si>
    <t>PO Bearings</t>
  </si>
  <si>
    <t>https://www.loziska-bearings.sk/e-shop/action/productdetail/oc/29/product/lozisko-ucp205-standard-q.xhtml</t>
  </si>
  <si>
    <t>Pulley</t>
  </si>
  <si>
    <t xml:space="preserve">Drive belt </t>
  </si>
  <si>
    <t>Tapper bush</t>
  </si>
  <si>
    <t>1108-25</t>
  </si>
  <si>
    <t>1210-19</t>
  </si>
  <si>
    <t>SPZ 637 Lw 650 La</t>
  </si>
  <si>
    <t>https://www.loziska-bearings.sk/e-shop/remenica-spz-75-1-tb-1108-optibelt/p-4256078.xhtml</t>
  </si>
  <si>
    <t>SPZ 75x1 1108</t>
  </si>
  <si>
    <t>SPZ 85x1 1210</t>
  </si>
  <si>
    <t>https://www.loziska-bearings.sk/e-shop/remenica-spz-85-1-tb-1210-optibelt/p-4256082.xhtml</t>
  </si>
  <si>
    <t>https://www.tyma.cz/produkty/tb-1108-25/</t>
  </si>
  <si>
    <t>Tyma</t>
  </si>
  <si>
    <t>https://www.tyma.cz/produkty/tb-1210-19/</t>
  </si>
  <si>
    <t>https://www.loziska-bearings.sk/e-shop/remen-97-637lw-650la-spz/p-5359516.xhtml</t>
  </si>
  <si>
    <t>Drive</t>
  </si>
  <si>
    <t>Motor</t>
  </si>
  <si>
    <t>Single phase 230V 0,75kW 1ALJ802-4</t>
  </si>
  <si>
    <t>Vybo electric</t>
  </si>
  <si>
    <t>https://vyboelectric.sk/obchod/jednofazovy-elektromotor-230v-075kw-1alj802-4/</t>
  </si>
  <si>
    <t>https://www.rv-elektronik.eu/rv-elektronik/eshop/7-1-Kondenzatory/18-2-rozbehove/5/2340-Rozbehovy-kondenzator-25uF</t>
  </si>
  <si>
    <t>RV elektronik</t>
  </si>
  <si>
    <t>Startup capacitor</t>
  </si>
  <si>
    <t>25uF 450V</t>
  </si>
  <si>
    <t>Misc</t>
  </si>
  <si>
    <t>3D printer filament</t>
  </si>
  <si>
    <t>PETG</t>
  </si>
  <si>
    <t>Datacomp</t>
  </si>
  <si>
    <t>https://datacomp.sk/c-tech-premium-line-tlacova-struna-filament-petg-1-75mm-nebeska-modra_d483825.html</t>
  </si>
  <si>
    <t>Screws, settings screws, small bolts</t>
  </si>
  <si>
    <t>Cooling</t>
  </si>
  <si>
    <t>https://www.obi.sk/strojne-skrutky/lux-strojna-skrutka-m6-x-60-mm-pozinkovana-uplny-zavit-100-kusov/p/3860871</t>
  </si>
  <si>
    <t>M6x60 / M6x80</t>
  </si>
  <si>
    <t>Hex bolt M6x60</t>
  </si>
  <si>
    <t>Hex nut M6</t>
  </si>
  <si>
    <t>100 pcs package</t>
  </si>
  <si>
    <t>https://www.obi.sk/sesthranne-matice/lux-sesthranna-matica-m6-pozinkovana-100-kusov/p/3860400</t>
  </si>
  <si>
    <t>200pcs wheel covers</t>
  </si>
  <si>
    <t>64pcs min - holder</t>
  </si>
  <si>
    <t>200 pcs package</t>
  </si>
  <si>
    <t>PZ screw for wood 3,5x16mm</t>
  </si>
  <si>
    <t>https://www.obi.sk/univerzalne-a-drevotrieskove-skrutky/lux-skrutka-so-zapust-hlavou-pz-plny-zavit-zlto-pozinkovany-200-ks-3-5-x-16-mm/p/3939915</t>
  </si>
  <si>
    <t>package of mix</t>
  </si>
  <si>
    <t>Mall.sk ??</t>
  </si>
  <si>
    <t>Water pump</t>
  </si>
  <si>
    <t>Tetra WP1000 1000l/h</t>
  </si>
  <si>
    <t>Mall.sk</t>
  </si>
  <si>
    <t>https://www.mall.sk/akvaristika/tetra-cerpadlo-wp-1000-1000l-h-100098177208</t>
  </si>
  <si>
    <t>Hose</t>
  </si>
  <si>
    <t>1/2" hose 2m</t>
  </si>
  <si>
    <t>https://www.obi.sk/zahradne-hadice/gardena-hadica-flex-13-mm-1-2-metraz/p/4634721</t>
  </si>
  <si>
    <t>Nozzle hose</t>
  </si>
  <si>
    <t>4mm hose 2m</t>
  </si>
  <si>
    <t>https://www.obi.sk/zahradne-hadice/fitt-akvaristicka-hadica-zelena-15-bar-pr-4-mm-metraz/p/2229250</t>
  </si>
  <si>
    <t>10pcs</t>
  </si>
  <si>
    <t>Nozzle hose valve 5pcs pack</t>
  </si>
  <si>
    <t>Nozzle 5pcs pack</t>
  </si>
  <si>
    <t>10pcs = 2 pack 8333-20</t>
  </si>
  <si>
    <t>https://www.obi.sk/zavlazovaci-system-micro-drip/gardena-regulacny-ventil-micro-drip-pr-4-6-mm-3-16-5-ks/p/2034098</t>
  </si>
  <si>
    <t>https://www.obi.sk/zavlazovaci-system-micro-drip/gardena-hmlova-tryska/p/1976133</t>
  </si>
  <si>
    <t>https://www.obi.sk/zavlazovaci-system-micro-drip/gardena-redukcny-t-kus-13-mm-1-2-4-6-mm-3-16-/p/3077989</t>
  </si>
  <si>
    <t>Hose T reduction 5 pcs pack</t>
  </si>
  <si>
    <t>Hose fast clamp</t>
  </si>
  <si>
    <t>1/2" 4pcs</t>
  </si>
  <si>
    <t>https://www.obi.sk/pripojky-a-spojky/gardena-rychlospojka-13-mm-1-2-15-mm-5-8-/p/4797650</t>
  </si>
  <si>
    <t>Hose fast clamp with valve</t>
  </si>
  <si>
    <t>1/2" 2pcs</t>
  </si>
  <si>
    <t>Hose joint</t>
  </si>
  <si>
    <t>https://www.obi.sk/pripojky-a-spojky/hadicova-spojka/p/2229128</t>
  </si>
  <si>
    <t>https://www.obi.sk/pripojky-a-spojky/gardena-regulacny-ventil/p/9401605</t>
  </si>
  <si>
    <t>Power</t>
  </si>
  <si>
    <t>Power cable</t>
  </si>
  <si>
    <t>https://www.hagard.sk/produkty/kabel-ohybny-h07rn-f-3g4-guma-cierny</t>
  </si>
  <si>
    <t>Hagard hal</t>
  </si>
  <si>
    <t>Switchbox</t>
  </si>
  <si>
    <t>https://www.hagard.sk/produkty/krabica-rozbocovacia-2000342-a-11-85x85x40mm-bez-vyvodiek-siva</t>
  </si>
  <si>
    <t>Switching box 85x85x40</t>
  </si>
  <si>
    <t>power switch</t>
  </si>
  <si>
    <t>https://www.cbelektro.sk/vypinac-koliskovy-on-off-2pol-250v-15a-cerveny-hdx-p40463?gad_source=1&amp;gclid=Cj0KCQjwqIm_BhDnARIsAKBYcmtf83Ijl6Wu-64eom0Xbgoul34XnQLlhBL_KUedMvOI-Q9_xluivIUaAnLCEALw_wcB</t>
  </si>
  <si>
    <t>CB elektro</t>
  </si>
  <si>
    <t>2 position 250v / 15A Red or green</t>
  </si>
  <si>
    <t>power plug</t>
  </si>
  <si>
    <t>https://www.hagard.sk/produkty/vidlica-5536-2154-250v-16a-3p-pvc-biela</t>
  </si>
  <si>
    <t>250v 16A 2p</t>
  </si>
  <si>
    <t>Wago clamp</t>
  </si>
  <si>
    <t>https://www.hagard.sk/produkty/svorka-krabicova-221-413-3x0-2-4-0mm2-3-polova-wago</t>
  </si>
  <si>
    <t>3 pole 0,2-4mm2 10 pcs</t>
  </si>
  <si>
    <t>Flex H07RN-F 3G4 3m</t>
  </si>
  <si>
    <t>Wheels</t>
  </si>
  <si>
    <t>50mm x 200mm x 25mm bore</t>
  </si>
  <si>
    <t>Sintered wheel 100grit</t>
  </si>
  <si>
    <t>Sintered wheel 220grit</t>
  </si>
  <si>
    <t>25mm x 200mm x 25mm bore</t>
  </si>
  <si>
    <t>Electroplated hard wheel 400 grit</t>
  </si>
  <si>
    <t>50mm x 200mm x 25,4mm bore</t>
  </si>
  <si>
    <t>Soft Premium REZ wheel 600 grit</t>
  </si>
  <si>
    <t>Soft Premium REZ wheel 1200 grit</t>
  </si>
  <si>
    <t>Soft Premium REZ wheel 3000 grit</t>
  </si>
  <si>
    <t>Baltic abrasives</t>
  </si>
  <si>
    <t>Dimapa</t>
  </si>
  <si>
    <t>Total</t>
  </si>
  <si>
    <t>Withotu wheels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</si>
</sst>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B624-F209-46BA-86DB-2B4C2926EE53}">
  <dimension ref="A1:Y56"/>
  <sheetViews>
    <sheetView tabSelected="1" workbookViewId="0">
      <selection activeCell="C12" sqref="C12"/>
    </sheetView>
  </sheetViews>
  <sheetFormatPr defaultRowHeight="14.5" x14ac:dyDescent="0.35"/>
  <cols>
    <col min="2" max="2" width="23.6328125" customWidth="1"/>
    <col min="3" max="3" width="32.453125" customWidth="1"/>
    <col min="4" max="4" width="41.7265625" bestFit="1" customWidth="1"/>
    <col min="6" max="6" width="11.36328125" bestFit="1" customWidth="1"/>
    <col min="7" max="7" width="9.26953125" bestFit="1" customWidth="1"/>
    <col min="8" max="8" width="12.81640625" customWidth="1"/>
    <col min="9" max="9" width="17.3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  <c r="I1" t="s">
        <v>43</v>
      </c>
      <c r="J1" t="s">
        <v>7</v>
      </c>
    </row>
    <row r="2" spans="1:25" x14ac:dyDescent="0.35">
      <c r="A2">
        <v>1</v>
      </c>
      <c r="B2" t="s">
        <v>8</v>
      </c>
      <c r="C2" t="s">
        <v>10</v>
      </c>
      <c r="D2" t="s">
        <v>14</v>
      </c>
      <c r="E2">
        <v>2</v>
      </c>
      <c r="F2">
        <v>11.38</v>
      </c>
      <c r="G2">
        <f t="shared" ref="G2:G27" si="0">F2*E2</f>
        <v>22.76</v>
      </c>
      <c r="H2" t="s">
        <v>11</v>
      </c>
      <c r="I2" t="s">
        <v>44</v>
      </c>
      <c r="J2" t="s">
        <v>12</v>
      </c>
    </row>
    <row r="3" spans="1:25" x14ac:dyDescent="0.35">
      <c r="A3">
        <v>2</v>
      </c>
      <c r="B3" t="s">
        <v>8</v>
      </c>
      <c r="C3" t="s">
        <v>13</v>
      </c>
      <c r="D3" t="s">
        <v>14</v>
      </c>
      <c r="E3">
        <v>2</v>
      </c>
      <c r="F3">
        <v>3.94</v>
      </c>
      <c r="G3">
        <f t="shared" si="0"/>
        <v>7.88</v>
      </c>
      <c r="H3" t="s">
        <v>11</v>
      </c>
      <c r="I3" t="s">
        <v>45</v>
      </c>
      <c r="J3" t="s">
        <v>17</v>
      </c>
    </row>
    <row r="4" spans="1:25" x14ac:dyDescent="0.35">
      <c r="A4">
        <v>3</v>
      </c>
      <c r="B4" t="s">
        <v>8</v>
      </c>
      <c r="C4" t="s">
        <v>13</v>
      </c>
      <c r="D4" t="s">
        <v>15</v>
      </c>
      <c r="E4">
        <v>2</v>
      </c>
      <c r="F4">
        <v>5.9</v>
      </c>
      <c r="G4">
        <f t="shared" si="0"/>
        <v>11.8</v>
      </c>
      <c r="H4" t="s">
        <v>11</v>
      </c>
      <c r="I4" t="s">
        <v>46</v>
      </c>
      <c r="J4" t="s">
        <v>17</v>
      </c>
    </row>
    <row r="5" spans="1:25" x14ac:dyDescent="0.35">
      <c r="A5">
        <v>4</v>
      </c>
      <c r="B5" t="s">
        <v>8</v>
      </c>
      <c r="C5" t="s">
        <v>13</v>
      </c>
      <c r="D5" t="s">
        <v>16</v>
      </c>
      <c r="E5">
        <v>1</v>
      </c>
      <c r="F5">
        <v>23.6</v>
      </c>
      <c r="G5">
        <f t="shared" si="0"/>
        <v>23.6</v>
      </c>
      <c r="H5" t="s">
        <v>11</v>
      </c>
      <c r="I5" t="s">
        <v>47</v>
      </c>
      <c r="J5" t="s">
        <v>17</v>
      </c>
    </row>
    <row r="6" spans="1:25" x14ac:dyDescent="0.35">
      <c r="A6">
        <v>5</v>
      </c>
      <c r="B6" t="s">
        <v>8</v>
      </c>
      <c r="C6" t="s">
        <v>18</v>
      </c>
      <c r="E6">
        <v>2</v>
      </c>
      <c r="F6">
        <v>1.83</v>
      </c>
      <c r="G6">
        <f t="shared" si="0"/>
        <v>3.66</v>
      </c>
      <c r="H6" t="s">
        <v>11</v>
      </c>
      <c r="J6" t="s">
        <v>21</v>
      </c>
    </row>
    <row r="7" spans="1:25" x14ac:dyDescent="0.35">
      <c r="A7">
        <v>6</v>
      </c>
      <c r="B7" t="s">
        <v>8</v>
      </c>
      <c r="C7" t="s">
        <v>19</v>
      </c>
      <c r="E7">
        <v>4</v>
      </c>
      <c r="F7">
        <v>0.3</v>
      </c>
      <c r="G7">
        <f t="shared" si="0"/>
        <v>1.2</v>
      </c>
      <c r="H7" t="s">
        <v>11</v>
      </c>
      <c r="J7" t="s">
        <v>20</v>
      </c>
    </row>
    <row r="8" spans="1:25" x14ac:dyDescent="0.35">
      <c r="A8">
        <v>7</v>
      </c>
      <c r="B8" t="s">
        <v>8</v>
      </c>
      <c r="C8" t="s">
        <v>22</v>
      </c>
      <c r="E8">
        <v>6</v>
      </c>
      <c r="F8">
        <v>0.92</v>
      </c>
      <c r="G8">
        <f t="shared" si="0"/>
        <v>5.5200000000000005</v>
      </c>
      <c r="H8" t="s">
        <v>11</v>
      </c>
      <c r="J8" t="s">
        <v>23</v>
      </c>
    </row>
    <row r="9" spans="1:25" x14ac:dyDescent="0.35">
      <c r="A9">
        <v>8</v>
      </c>
      <c r="B9" t="s">
        <v>8</v>
      </c>
      <c r="C9" t="s">
        <v>24</v>
      </c>
      <c r="E9">
        <v>14</v>
      </c>
      <c r="F9">
        <v>0.97</v>
      </c>
      <c r="G9">
        <f t="shared" si="0"/>
        <v>13.58</v>
      </c>
      <c r="H9" t="s">
        <v>11</v>
      </c>
      <c r="J9" t="s">
        <v>25</v>
      </c>
    </row>
    <row r="10" spans="1:25" x14ac:dyDescent="0.35">
      <c r="A10">
        <v>9</v>
      </c>
      <c r="B10" t="s">
        <v>8</v>
      </c>
      <c r="C10" t="s">
        <v>36</v>
      </c>
      <c r="D10" t="s">
        <v>35</v>
      </c>
      <c r="E10">
        <v>14</v>
      </c>
      <c r="F10">
        <v>0.09</v>
      </c>
      <c r="G10">
        <f t="shared" si="0"/>
        <v>1.26</v>
      </c>
      <c r="H10" t="s">
        <v>11</v>
      </c>
      <c r="I10" t="s">
        <v>48</v>
      </c>
      <c r="J10" t="s">
        <v>34</v>
      </c>
    </row>
    <row r="11" spans="1:25" x14ac:dyDescent="0.35">
      <c r="A11">
        <v>10</v>
      </c>
      <c r="B11" t="s">
        <v>8</v>
      </c>
      <c r="C11" t="s">
        <v>26</v>
      </c>
      <c r="D11" t="s">
        <v>27</v>
      </c>
      <c r="E11">
        <v>14</v>
      </c>
      <c r="F11">
        <v>0.27</v>
      </c>
      <c r="G11">
        <f t="shared" si="0"/>
        <v>3.7800000000000002</v>
      </c>
      <c r="H11" t="s">
        <v>11</v>
      </c>
      <c r="I11" t="s">
        <v>48</v>
      </c>
      <c r="J11" t="s">
        <v>33</v>
      </c>
    </row>
    <row r="12" spans="1:25" x14ac:dyDescent="0.35">
      <c r="A12">
        <v>11</v>
      </c>
      <c r="B12" t="s">
        <v>8</v>
      </c>
      <c r="C12" t="s">
        <v>28</v>
      </c>
      <c r="D12" s="1" t="s">
        <v>29</v>
      </c>
      <c r="E12">
        <v>4</v>
      </c>
      <c r="F12">
        <v>3.31</v>
      </c>
      <c r="G12">
        <f t="shared" si="0"/>
        <v>13.24</v>
      </c>
      <c r="H12" t="s">
        <v>11</v>
      </c>
      <c r="I12" t="s">
        <v>45</v>
      </c>
      <c r="J12" t="s">
        <v>37</v>
      </c>
    </row>
    <row r="13" spans="1:25" x14ac:dyDescent="0.35">
      <c r="A13">
        <v>12</v>
      </c>
      <c r="B13" t="s">
        <v>8</v>
      </c>
      <c r="C13" t="s">
        <v>30</v>
      </c>
      <c r="D13" t="s">
        <v>31</v>
      </c>
      <c r="E13">
        <v>20</v>
      </c>
      <c r="F13">
        <v>0.32</v>
      </c>
      <c r="G13">
        <f t="shared" si="0"/>
        <v>6.4</v>
      </c>
      <c r="H13" t="s">
        <v>11</v>
      </c>
      <c r="I13" t="s">
        <v>49</v>
      </c>
      <c r="J13" t="s">
        <v>32</v>
      </c>
      <c r="W13" t="s">
        <v>63</v>
      </c>
      <c r="X13" t="s">
        <v>64</v>
      </c>
      <c r="Y13" t="s">
        <v>71</v>
      </c>
    </row>
    <row r="14" spans="1:25" x14ac:dyDescent="0.35">
      <c r="A14">
        <v>13</v>
      </c>
      <c r="B14" t="s">
        <v>8</v>
      </c>
      <c r="C14" t="s">
        <v>38</v>
      </c>
      <c r="D14" s="1" t="s">
        <v>39</v>
      </c>
      <c r="E14">
        <v>2</v>
      </c>
      <c r="F14">
        <v>1.59</v>
      </c>
      <c r="G14">
        <f t="shared" si="0"/>
        <v>3.18</v>
      </c>
      <c r="H14" t="s">
        <v>11</v>
      </c>
      <c r="I14" t="s">
        <v>46</v>
      </c>
      <c r="J14" t="s">
        <v>40</v>
      </c>
      <c r="X14" t="s">
        <v>65</v>
      </c>
      <c r="Y14" t="s">
        <v>70</v>
      </c>
    </row>
    <row r="15" spans="1:25" x14ac:dyDescent="0.35">
      <c r="A15">
        <v>14</v>
      </c>
      <c r="B15" t="s">
        <v>8</v>
      </c>
      <c r="C15" t="s">
        <v>41</v>
      </c>
      <c r="D15" t="s">
        <v>42</v>
      </c>
      <c r="E15">
        <v>4</v>
      </c>
      <c r="F15">
        <v>0.3</v>
      </c>
      <c r="G15">
        <f t="shared" si="0"/>
        <v>1.2</v>
      </c>
      <c r="H15" t="s">
        <v>11</v>
      </c>
      <c r="I15" t="s">
        <v>50</v>
      </c>
      <c r="J15" t="s">
        <v>55</v>
      </c>
      <c r="X15" t="s">
        <v>66</v>
      </c>
      <c r="Y15" t="s">
        <v>69</v>
      </c>
    </row>
    <row r="16" spans="1:25" x14ac:dyDescent="0.35">
      <c r="A16">
        <v>15</v>
      </c>
      <c r="B16" t="s">
        <v>8</v>
      </c>
      <c r="C16" t="s">
        <v>51</v>
      </c>
      <c r="D16" s="1" t="s">
        <v>52</v>
      </c>
      <c r="E16">
        <v>16</v>
      </c>
      <c r="F16">
        <v>0.16</v>
      </c>
      <c r="G16">
        <f t="shared" si="0"/>
        <v>2.56</v>
      </c>
      <c r="H16" t="s">
        <v>11</v>
      </c>
      <c r="I16" t="s">
        <v>54</v>
      </c>
      <c r="J16" t="s">
        <v>53</v>
      </c>
      <c r="X16" t="s">
        <v>67</v>
      </c>
      <c r="Y16" t="s">
        <v>68</v>
      </c>
    </row>
    <row r="17" spans="1:10" x14ac:dyDescent="0.35">
      <c r="A17">
        <v>16</v>
      </c>
      <c r="B17" t="s">
        <v>8</v>
      </c>
      <c r="C17" t="s">
        <v>56</v>
      </c>
      <c r="D17" t="s">
        <v>57</v>
      </c>
      <c r="E17">
        <v>26</v>
      </c>
      <c r="F17">
        <v>0.06</v>
      </c>
      <c r="G17">
        <f t="shared" si="0"/>
        <v>1.56</v>
      </c>
      <c r="H17" t="s">
        <v>11</v>
      </c>
      <c r="J17" t="s">
        <v>58</v>
      </c>
    </row>
    <row r="18" spans="1:10" x14ac:dyDescent="0.35">
      <c r="A18">
        <v>17</v>
      </c>
      <c r="B18" t="s">
        <v>8</v>
      </c>
      <c r="C18" t="s">
        <v>59</v>
      </c>
      <c r="D18" s="1" t="s">
        <v>60</v>
      </c>
      <c r="E18">
        <v>16</v>
      </c>
      <c r="F18">
        <v>0.06</v>
      </c>
      <c r="G18">
        <f t="shared" si="0"/>
        <v>0.96</v>
      </c>
      <c r="H18" t="s">
        <v>11</v>
      </c>
      <c r="I18" t="s">
        <v>61</v>
      </c>
      <c r="J18" t="s">
        <v>62</v>
      </c>
    </row>
    <row r="19" spans="1:10" x14ac:dyDescent="0.35">
      <c r="A19">
        <v>18</v>
      </c>
      <c r="B19" t="s">
        <v>72</v>
      </c>
      <c r="C19" t="s">
        <v>76</v>
      </c>
      <c r="D19" t="s">
        <v>73</v>
      </c>
      <c r="E19">
        <v>1</v>
      </c>
      <c r="F19">
        <v>26.99</v>
      </c>
      <c r="G19">
        <f t="shared" si="0"/>
        <v>26.99</v>
      </c>
      <c r="H19" t="s">
        <v>74</v>
      </c>
      <c r="I19" t="s">
        <v>80</v>
      </c>
      <c r="J19" t="s">
        <v>75</v>
      </c>
    </row>
    <row r="20" spans="1:10" x14ac:dyDescent="0.35">
      <c r="A20">
        <v>19</v>
      </c>
      <c r="B20" t="s">
        <v>72</v>
      </c>
      <c r="C20" t="s">
        <v>77</v>
      </c>
      <c r="D20" t="s">
        <v>73</v>
      </c>
      <c r="E20">
        <v>1</v>
      </c>
      <c r="F20">
        <v>19.989999999999998</v>
      </c>
      <c r="G20">
        <f t="shared" si="0"/>
        <v>19.989999999999998</v>
      </c>
      <c r="H20" t="s">
        <v>74</v>
      </c>
      <c r="I20" t="s">
        <v>79</v>
      </c>
      <c r="J20" t="s">
        <v>78</v>
      </c>
    </row>
    <row r="21" spans="1:10" x14ac:dyDescent="0.35">
      <c r="A21">
        <v>20</v>
      </c>
      <c r="B21" t="s">
        <v>81</v>
      </c>
      <c r="C21" t="s">
        <v>82</v>
      </c>
      <c r="D21" t="s">
        <v>83</v>
      </c>
      <c r="E21">
        <v>1</v>
      </c>
      <c r="F21">
        <v>20</v>
      </c>
      <c r="G21">
        <f t="shared" si="0"/>
        <v>20</v>
      </c>
      <c r="H21" t="s">
        <v>85</v>
      </c>
      <c r="I21" t="s">
        <v>86</v>
      </c>
      <c r="J21" t="s">
        <v>84</v>
      </c>
    </row>
    <row r="22" spans="1:10" x14ac:dyDescent="0.35">
      <c r="A22">
        <v>21</v>
      </c>
      <c r="B22" t="s">
        <v>87</v>
      </c>
      <c r="C22" t="s">
        <v>88</v>
      </c>
      <c r="E22">
        <v>2</v>
      </c>
      <c r="F22">
        <v>5.17</v>
      </c>
      <c r="G22">
        <f t="shared" si="0"/>
        <v>10.34</v>
      </c>
      <c r="H22" t="s">
        <v>89</v>
      </c>
      <c r="J22" t="s">
        <v>90</v>
      </c>
    </row>
    <row r="23" spans="1:10" x14ac:dyDescent="0.35">
      <c r="A23">
        <v>22</v>
      </c>
      <c r="B23" t="s">
        <v>105</v>
      </c>
      <c r="C23" t="s">
        <v>91</v>
      </c>
      <c r="D23" t="s">
        <v>98</v>
      </c>
      <c r="E23">
        <v>1</v>
      </c>
      <c r="F23">
        <v>10.53</v>
      </c>
      <c r="G23">
        <f t="shared" si="0"/>
        <v>10.53</v>
      </c>
      <c r="H23" t="s">
        <v>89</v>
      </c>
      <c r="J23" t="s">
        <v>97</v>
      </c>
    </row>
    <row r="24" spans="1:10" x14ac:dyDescent="0.35">
      <c r="A24">
        <v>23</v>
      </c>
      <c r="B24" t="s">
        <v>105</v>
      </c>
      <c r="C24" t="s">
        <v>91</v>
      </c>
      <c r="D24" t="s">
        <v>99</v>
      </c>
      <c r="E24">
        <v>1</v>
      </c>
      <c r="G24">
        <f t="shared" si="0"/>
        <v>0</v>
      </c>
      <c r="H24" t="s">
        <v>89</v>
      </c>
      <c r="J24" t="s">
        <v>100</v>
      </c>
    </row>
    <row r="25" spans="1:10" x14ac:dyDescent="0.35">
      <c r="A25">
        <v>24</v>
      </c>
      <c r="B25" t="s">
        <v>105</v>
      </c>
      <c r="C25" t="s">
        <v>93</v>
      </c>
      <c r="D25" t="s">
        <v>94</v>
      </c>
      <c r="E25">
        <v>1</v>
      </c>
      <c r="F25">
        <v>3.96</v>
      </c>
      <c r="G25">
        <f t="shared" si="0"/>
        <v>3.96</v>
      </c>
      <c r="H25" t="s">
        <v>102</v>
      </c>
      <c r="J25" t="s">
        <v>101</v>
      </c>
    </row>
    <row r="26" spans="1:10" x14ac:dyDescent="0.35">
      <c r="A26">
        <v>25</v>
      </c>
      <c r="B26" t="s">
        <v>105</v>
      </c>
      <c r="C26" t="s">
        <v>93</v>
      </c>
      <c r="D26" t="s">
        <v>95</v>
      </c>
      <c r="E26">
        <v>1</v>
      </c>
      <c r="F26">
        <v>4.92</v>
      </c>
      <c r="G26">
        <f t="shared" si="0"/>
        <v>4.92</v>
      </c>
      <c r="H26" t="s">
        <v>102</v>
      </c>
      <c r="J26" t="s">
        <v>103</v>
      </c>
    </row>
    <row r="27" spans="1:10" x14ac:dyDescent="0.35">
      <c r="A27">
        <v>26</v>
      </c>
      <c r="B27" t="s">
        <v>105</v>
      </c>
      <c r="C27" t="s">
        <v>92</v>
      </c>
      <c r="D27" t="s">
        <v>96</v>
      </c>
      <c r="E27">
        <v>1</v>
      </c>
      <c r="F27">
        <v>1.45</v>
      </c>
      <c r="G27">
        <f t="shared" si="0"/>
        <v>1.45</v>
      </c>
      <c r="H27" t="s">
        <v>89</v>
      </c>
      <c r="J27" t="s">
        <v>104</v>
      </c>
    </row>
    <row r="28" spans="1:10" x14ac:dyDescent="0.35">
      <c r="A28">
        <v>27</v>
      </c>
      <c r="B28" t="s">
        <v>105</v>
      </c>
      <c r="C28" t="s">
        <v>106</v>
      </c>
      <c r="D28" t="s">
        <v>107</v>
      </c>
      <c r="E28">
        <v>1</v>
      </c>
      <c r="F28">
        <v>152.41</v>
      </c>
      <c r="G28">
        <f t="shared" ref="G28:G54" si="1">F28*E28</f>
        <v>152.41</v>
      </c>
      <c r="H28" t="s">
        <v>108</v>
      </c>
      <c r="J28" t="s">
        <v>109</v>
      </c>
    </row>
    <row r="29" spans="1:10" x14ac:dyDescent="0.35">
      <c r="A29">
        <v>28</v>
      </c>
      <c r="B29" t="s">
        <v>105</v>
      </c>
      <c r="C29" t="s">
        <v>112</v>
      </c>
      <c r="D29" t="s">
        <v>113</v>
      </c>
      <c r="E29">
        <v>1</v>
      </c>
      <c r="F29">
        <v>5.95</v>
      </c>
      <c r="G29">
        <f t="shared" si="1"/>
        <v>5.95</v>
      </c>
      <c r="H29" t="s">
        <v>111</v>
      </c>
      <c r="J29" t="s">
        <v>110</v>
      </c>
    </row>
    <row r="30" spans="1:10" x14ac:dyDescent="0.35">
      <c r="A30">
        <v>29</v>
      </c>
      <c r="B30" t="s">
        <v>114</v>
      </c>
      <c r="C30" t="s">
        <v>115</v>
      </c>
      <c r="D30" t="s">
        <v>116</v>
      </c>
      <c r="E30">
        <v>2</v>
      </c>
      <c r="F30">
        <v>15.28</v>
      </c>
      <c r="G30">
        <f t="shared" si="1"/>
        <v>30.56</v>
      </c>
      <c r="H30" t="s">
        <v>117</v>
      </c>
      <c r="J30" t="s">
        <v>118</v>
      </c>
    </row>
    <row r="31" spans="1:10" x14ac:dyDescent="0.35">
      <c r="A31">
        <v>30</v>
      </c>
      <c r="B31" t="s">
        <v>114</v>
      </c>
      <c r="C31" t="s">
        <v>119</v>
      </c>
      <c r="D31" t="s">
        <v>132</v>
      </c>
      <c r="E31">
        <v>2</v>
      </c>
      <c r="F31">
        <v>20</v>
      </c>
      <c r="G31">
        <f t="shared" si="1"/>
        <v>40</v>
      </c>
      <c r="H31" t="s">
        <v>133</v>
      </c>
    </row>
    <row r="32" spans="1:10" x14ac:dyDescent="0.35">
      <c r="A32">
        <v>31</v>
      </c>
      <c r="B32" t="s">
        <v>120</v>
      </c>
      <c r="C32" t="s">
        <v>123</v>
      </c>
      <c r="E32">
        <v>32</v>
      </c>
      <c r="F32">
        <v>0.1</v>
      </c>
      <c r="G32">
        <f t="shared" si="1"/>
        <v>3.2</v>
      </c>
      <c r="H32" t="s">
        <v>74</v>
      </c>
      <c r="I32" t="s">
        <v>122</v>
      </c>
      <c r="J32" t="s">
        <v>121</v>
      </c>
    </row>
    <row r="33" spans="1:10" x14ac:dyDescent="0.35">
      <c r="A33">
        <v>32</v>
      </c>
      <c r="B33" t="s">
        <v>120</v>
      </c>
      <c r="C33" t="s">
        <v>124</v>
      </c>
      <c r="D33" t="s">
        <v>125</v>
      </c>
      <c r="E33">
        <v>1</v>
      </c>
      <c r="F33">
        <v>2.39</v>
      </c>
      <c r="G33">
        <f t="shared" si="1"/>
        <v>2.39</v>
      </c>
      <c r="I33" t="s">
        <v>128</v>
      </c>
      <c r="J33" t="s">
        <v>126</v>
      </c>
    </row>
    <row r="34" spans="1:10" x14ac:dyDescent="0.35">
      <c r="A34">
        <v>33</v>
      </c>
      <c r="B34" t="s">
        <v>120</v>
      </c>
      <c r="C34" t="s">
        <v>130</v>
      </c>
      <c r="D34" t="s">
        <v>129</v>
      </c>
      <c r="E34">
        <v>1</v>
      </c>
      <c r="F34">
        <v>3.39</v>
      </c>
      <c r="G34">
        <f t="shared" si="1"/>
        <v>3.39</v>
      </c>
      <c r="I34" t="s">
        <v>127</v>
      </c>
      <c r="J34" t="s">
        <v>131</v>
      </c>
    </row>
    <row r="35" spans="1:10" x14ac:dyDescent="0.35">
      <c r="A35">
        <v>34</v>
      </c>
      <c r="B35" t="s">
        <v>120</v>
      </c>
      <c r="C35" t="s">
        <v>134</v>
      </c>
      <c r="D35" t="s">
        <v>135</v>
      </c>
      <c r="E35">
        <v>1</v>
      </c>
      <c r="F35">
        <v>26.8</v>
      </c>
      <c r="G35">
        <f t="shared" si="1"/>
        <v>26.8</v>
      </c>
      <c r="H35" t="s">
        <v>136</v>
      </c>
      <c r="J35" t="s">
        <v>137</v>
      </c>
    </row>
    <row r="36" spans="1:10" x14ac:dyDescent="0.35">
      <c r="A36">
        <v>35</v>
      </c>
      <c r="B36" t="s">
        <v>120</v>
      </c>
      <c r="C36" t="s">
        <v>138</v>
      </c>
      <c r="D36" t="s">
        <v>139</v>
      </c>
      <c r="E36">
        <v>2</v>
      </c>
      <c r="F36">
        <v>2.59</v>
      </c>
      <c r="G36">
        <f t="shared" si="1"/>
        <v>5.18</v>
      </c>
      <c r="H36" t="s">
        <v>74</v>
      </c>
      <c r="J36" t="s">
        <v>140</v>
      </c>
    </row>
    <row r="37" spans="1:10" x14ac:dyDescent="0.35">
      <c r="A37">
        <v>36</v>
      </c>
      <c r="B37" t="s">
        <v>120</v>
      </c>
      <c r="C37" t="s">
        <v>141</v>
      </c>
      <c r="D37" t="s">
        <v>142</v>
      </c>
      <c r="E37">
        <v>2</v>
      </c>
      <c r="F37">
        <v>0.99</v>
      </c>
      <c r="G37">
        <f t="shared" si="1"/>
        <v>1.98</v>
      </c>
      <c r="H37" t="s">
        <v>74</v>
      </c>
      <c r="J37" t="s">
        <v>143</v>
      </c>
    </row>
    <row r="38" spans="1:10" x14ac:dyDescent="0.35">
      <c r="A38">
        <v>37</v>
      </c>
      <c r="B38" t="s">
        <v>120</v>
      </c>
      <c r="C38" t="s">
        <v>151</v>
      </c>
      <c r="D38" t="s">
        <v>147</v>
      </c>
      <c r="E38">
        <v>2</v>
      </c>
      <c r="F38">
        <v>4.29</v>
      </c>
      <c r="G38">
        <f t="shared" si="1"/>
        <v>8.58</v>
      </c>
      <c r="H38" t="s">
        <v>74</v>
      </c>
      <c r="J38" t="s">
        <v>150</v>
      </c>
    </row>
    <row r="39" spans="1:10" x14ac:dyDescent="0.35">
      <c r="A39">
        <v>38</v>
      </c>
      <c r="B39" t="s">
        <v>120</v>
      </c>
      <c r="C39" t="s">
        <v>145</v>
      </c>
      <c r="D39" t="s">
        <v>144</v>
      </c>
      <c r="E39">
        <v>2</v>
      </c>
      <c r="F39">
        <v>7.49</v>
      </c>
      <c r="G39">
        <f t="shared" si="1"/>
        <v>14.98</v>
      </c>
      <c r="H39" t="s">
        <v>74</v>
      </c>
      <c r="J39" t="s">
        <v>148</v>
      </c>
    </row>
    <row r="40" spans="1:10" x14ac:dyDescent="0.35">
      <c r="A40">
        <v>39</v>
      </c>
      <c r="B40" t="s">
        <v>120</v>
      </c>
      <c r="C40" t="s">
        <v>146</v>
      </c>
      <c r="D40" t="s">
        <v>144</v>
      </c>
      <c r="E40">
        <v>2</v>
      </c>
      <c r="F40">
        <v>2.89</v>
      </c>
      <c r="G40">
        <f t="shared" si="1"/>
        <v>5.78</v>
      </c>
      <c r="H40" t="s">
        <v>74</v>
      </c>
      <c r="J40" t="s">
        <v>149</v>
      </c>
    </row>
    <row r="41" spans="1:10" x14ac:dyDescent="0.35">
      <c r="A41">
        <v>40</v>
      </c>
      <c r="B41" t="s">
        <v>120</v>
      </c>
      <c r="C41" t="s">
        <v>152</v>
      </c>
      <c r="D41" t="s">
        <v>153</v>
      </c>
      <c r="E41">
        <v>4</v>
      </c>
      <c r="F41">
        <v>5.09</v>
      </c>
      <c r="G41">
        <f t="shared" si="1"/>
        <v>20.36</v>
      </c>
      <c r="H41" t="s">
        <v>74</v>
      </c>
      <c r="J41" t="s">
        <v>154</v>
      </c>
    </row>
    <row r="42" spans="1:10" x14ac:dyDescent="0.35">
      <c r="A42">
        <v>41</v>
      </c>
      <c r="B42" t="s">
        <v>120</v>
      </c>
      <c r="C42" t="s">
        <v>155</v>
      </c>
      <c r="D42" t="s">
        <v>156</v>
      </c>
      <c r="E42">
        <v>2</v>
      </c>
      <c r="F42">
        <v>9.19</v>
      </c>
      <c r="G42">
        <f t="shared" si="1"/>
        <v>18.38</v>
      </c>
      <c r="H42" t="s">
        <v>74</v>
      </c>
      <c r="J42" t="s">
        <v>159</v>
      </c>
    </row>
    <row r="43" spans="1:10" x14ac:dyDescent="0.35">
      <c r="A43">
        <v>42</v>
      </c>
      <c r="B43" t="s">
        <v>120</v>
      </c>
      <c r="C43" t="s">
        <v>157</v>
      </c>
      <c r="D43" t="s">
        <v>156</v>
      </c>
      <c r="E43">
        <v>2</v>
      </c>
      <c r="F43">
        <v>0.99</v>
      </c>
      <c r="G43">
        <f t="shared" si="1"/>
        <v>1.98</v>
      </c>
      <c r="H43" t="s">
        <v>74</v>
      </c>
      <c r="J43" t="s">
        <v>158</v>
      </c>
    </row>
    <row r="44" spans="1:10" x14ac:dyDescent="0.35">
      <c r="A44">
        <v>43</v>
      </c>
      <c r="B44" t="s">
        <v>160</v>
      </c>
      <c r="C44" t="s">
        <v>161</v>
      </c>
      <c r="D44" t="s">
        <v>177</v>
      </c>
      <c r="E44">
        <v>3</v>
      </c>
      <c r="F44">
        <v>3.2987000000000002</v>
      </c>
      <c r="G44">
        <f t="shared" si="1"/>
        <v>9.8961000000000006</v>
      </c>
      <c r="H44" t="s">
        <v>163</v>
      </c>
      <c r="J44" t="s">
        <v>162</v>
      </c>
    </row>
    <row r="45" spans="1:10" x14ac:dyDescent="0.35">
      <c r="A45">
        <v>44</v>
      </c>
      <c r="B45" t="s">
        <v>160</v>
      </c>
      <c r="C45" t="s">
        <v>164</v>
      </c>
      <c r="D45" t="s">
        <v>166</v>
      </c>
      <c r="E45">
        <v>1</v>
      </c>
      <c r="F45">
        <v>1.7434000000000001</v>
      </c>
      <c r="G45">
        <f t="shared" si="1"/>
        <v>1.7434000000000001</v>
      </c>
      <c r="H45" t="s">
        <v>163</v>
      </c>
      <c r="J45" t="s">
        <v>165</v>
      </c>
    </row>
    <row r="46" spans="1:10" x14ac:dyDescent="0.35">
      <c r="A46">
        <v>45</v>
      </c>
      <c r="B46" t="s">
        <v>160</v>
      </c>
      <c r="C46" t="s">
        <v>167</v>
      </c>
      <c r="D46" t="s">
        <v>170</v>
      </c>
      <c r="E46">
        <v>2</v>
      </c>
      <c r="F46">
        <v>0.77</v>
      </c>
      <c r="G46">
        <f t="shared" si="1"/>
        <v>1.54</v>
      </c>
      <c r="H46" t="s">
        <v>169</v>
      </c>
      <c r="J46" t="s">
        <v>168</v>
      </c>
    </row>
    <row r="47" spans="1:10" x14ac:dyDescent="0.35">
      <c r="A47">
        <v>46</v>
      </c>
      <c r="B47" t="s">
        <v>160</v>
      </c>
      <c r="C47" t="s">
        <v>171</v>
      </c>
      <c r="D47" t="s">
        <v>173</v>
      </c>
      <c r="E47">
        <v>1</v>
      </c>
      <c r="F47">
        <v>2.524</v>
      </c>
      <c r="G47">
        <f t="shared" si="1"/>
        <v>2.524</v>
      </c>
      <c r="H47" t="s">
        <v>163</v>
      </c>
      <c r="J47" t="s">
        <v>172</v>
      </c>
    </row>
    <row r="48" spans="1:10" x14ac:dyDescent="0.35">
      <c r="A48">
        <v>47</v>
      </c>
      <c r="B48" t="s">
        <v>160</v>
      </c>
      <c r="C48" t="s">
        <v>174</v>
      </c>
      <c r="D48" t="s">
        <v>176</v>
      </c>
      <c r="E48">
        <v>10</v>
      </c>
      <c r="F48">
        <v>0.5796</v>
      </c>
      <c r="G48">
        <f t="shared" si="1"/>
        <v>5.7960000000000003</v>
      </c>
      <c r="H48" t="s">
        <v>163</v>
      </c>
      <c r="J48" t="s">
        <v>175</v>
      </c>
    </row>
    <row r="49" spans="1:8" x14ac:dyDescent="0.35">
      <c r="A49">
        <v>48</v>
      </c>
      <c r="B49" t="s">
        <v>178</v>
      </c>
      <c r="C49" t="s">
        <v>180</v>
      </c>
      <c r="D49" t="s">
        <v>179</v>
      </c>
      <c r="E49">
        <v>1</v>
      </c>
      <c r="F49">
        <v>468</v>
      </c>
      <c r="G49">
        <f t="shared" si="1"/>
        <v>468</v>
      </c>
      <c r="H49" t="s">
        <v>188</v>
      </c>
    </row>
    <row r="50" spans="1:8" x14ac:dyDescent="0.35">
      <c r="A50">
        <v>49</v>
      </c>
      <c r="B50" t="s">
        <v>178</v>
      </c>
      <c r="C50" t="s">
        <v>181</v>
      </c>
      <c r="D50" t="s">
        <v>182</v>
      </c>
      <c r="E50">
        <v>1</v>
      </c>
      <c r="F50">
        <v>340</v>
      </c>
      <c r="G50">
        <f t="shared" si="1"/>
        <v>340</v>
      </c>
      <c r="H50" t="s">
        <v>188</v>
      </c>
    </row>
    <row r="51" spans="1:8" x14ac:dyDescent="0.35">
      <c r="A51">
        <v>50</v>
      </c>
      <c r="B51" t="s">
        <v>178</v>
      </c>
      <c r="C51" t="s">
        <v>183</v>
      </c>
      <c r="D51" t="s">
        <v>184</v>
      </c>
      <c r="E51">
        <v>1</v>
      </c>
      <c r="F51">
        <v>120</v>
      </c>
      <c r="G51">
        <f t="shared" si="1"/>
        <v>120</v>
      </c>
      <c r="H51" t="s">
        <v>189</v>
      </c>
    </row>
    <row r="52" spans="1:8" x14ac:dyDescent="0.35">
      <c r="A52">
        <v>51</v>
      </c>
      <c r="B52" t="s">
        <v>178</v>
      </c>
      <c r="C52" t="s">
        <v>185</v>
      </c>
      <c r="D52" t="s">
        <v>184</v>
      </c>
      <c r="E52">
        <v>1</v>
      </c>
      <c r="F52">
        <v>84.95</v>
      </c>
      <c r="G52">
        <f t="shared" si="1"/>
        <v>84.95</v>
      </c>
      <c r="H52" t="s">
        <v>188</v>
      </c>
    </row>
    <row r="53" spans="1:8" x14ac:dyDescent="0.35">
      <c r="A53">
        <v>52</v>
      </c>
      <c r="B53" t="s">
        <v>178</v>
      </c>
      <c r="C53" t="s">
        <v>186</v>
      </c>
      <c r="D53" t="s">
        <v>184</v>
      </c>
      <c r="E53">
        <v>1</v>
      </c>
      <c r="F53">
        <v>84.95</v>
      </c>
      <c r="G53">
        <f t="shared" si="1"/>
        <v>84.95</v>
      </c>
      <c r="H53" t="s">
        <v>188</v>
      </c>
    </row>
    <row r="54" spans="1:8" x14ac:dyDescent="0.35">
      <c r="A54">
        <v>53</v>
      </c>
      <c r="B54" t="s">
        <v>178</v>
      </c>
      <c r="C54" t="s">
        <v>187</v>
      </c>
      <c r="D54" t="s">
        <v>184</v>
      </c>
      <c r="E54">
        <v>1</v>
      </c>
      <c r="F54">
        <v>84.95</v>
      </c>
      <c r="G54">
        <f t="shared" si="1"/>
        <v>84.95</v>
      </c>
      <c r="H54" t="s">
        <v>188</v>
      </c>
    </row>
    <row r="55" spans="1:8" x14ac:dyDescent="0.35">
      <c r="F55" t="s">
        <v>190</v>
      </c>
      <c r="G55">
        <f>SUM(G2:G54)</f>
        <v>1768.5895000000003</v>
      </c>
    </row>
    <row r="56" spans="1:8" x14ac:dyDescent="0.35">
      <c r="F56" t="s">
        <v>191</v>
      </c>
      <c r="G56">
        <f>SUM(G2:G48)</f>
        <v>585.73950000000002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Gaspar</dc:creator>
  <cp:lastModifiedBy>Vladimir Gaspar</cp:lastModifiedBy>
  <dcterms:created xsi:type="dcterms:W3CDTF">2025-03-25T10:04:47Z</dcterms:created>
  <dcterms:modified xsi:type="dcterms:W3CDTF">2025-11-27T21:50:47Z</dcterms:modified>
</cp:coreProperties>
</file>